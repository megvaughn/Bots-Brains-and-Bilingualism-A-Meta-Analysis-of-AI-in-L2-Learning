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<sst xmlns="http://schemas.openxmlformats.org/spreadsheetml/2006/main" count="53" uniqueCount="40">
  <si>
    <t>Study_ID</t>
  </si>
  <si>
    <t>Year</t>
  </si>
  <si>
    <t>Sample_Size_Total</t>
  </si>
  <si>
    <t>n_Treatment</t>
  </si>
  <si>
    <t>n_Control</t>
  </si>
  <si>
    <t>Learner_Type</t>
  </si>
  <si>
    <t>AI_Tool</t>
  </si>
  <si>
    <t>Skill</t>
  </si>
  <si>
    <t>Mean_Control_Pre</t>
  </si>
  <si>
    <t>SD_Control_Pre</t>
  </si>
  <si>
    <t>Mean_Treatment_Post</t>
  </si>
  <si>
    <t>SD_Treatment_Post</t>
  </si>
  <si>
    <t>Pooled_SD</t>
  </si>
  <si>
    <t>Cohen_d</t>
  </si>
  <si>
    <t>Standard_Error</t>
  </si>
  <si>
    <t>CI_Lower</t>
  </si>
  <si>
    <t>CI_Upper</t>
  </si>
  <si>
    <t>Zhang2024</t>
  </si>
  <si>
    <t>EFL</t>
  </si>
  <si>
    <t>LLM Chatbot</t>
  </si>
  <si>
    <t>Vocabulary</t>
  </si>
  <si>
    <t>Nguyen2025</t>
  </si>
  <si>
    <t>SpeakAI</t>
  </si>
  <si>
    <t>Speaking (IELTS)</t>
  </si>
  <si>
    <t>Seddik2025_Grammar</t>
  </si>
  <si>
    <t>ChatGPT + Duolingo + Grammarly</t>
  </si>
  <si>
    <t>Grammar</t>
  </si>
  <si>
    <t>Seddik2025_Writing</t>
  </si>
  <si>
    <t>Writing</t>
  </si>
  <si>
    <t>Seddick2025_Vocabulary</t>
  </si>
  <si>
    <t>Dikaprio2024</t>
  </si>
  <si>
    <t>Talkpal.ai</t>
  </si>
  <si>
    <t>Speaking</t>
  </si>
  <si>
    <t>Azamatova2023</t>
  </si>
  <si>
    <t>AI + Duolingo + ChatGPT</t>
  </si>
  <si>
    <t>Nicolaidou2023</t>
  </si>
  <si>
    <t>IFL</t>
  </si>
  <si>
    <t>Mondly (VR v. Mobile)</t>
  </si>
  <si>
    <t>Hsu2024</t>
  </si>
  <si>
    <t>AI Image Recognition v. Google Translate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</si>
</sst>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2024.0</v>
      </c>
      <c r="C2" s="1">
        <v>52.0</v>
      </c>
      <c r="D2" s="1">
        <v>26.0</v>
      </c>
      <c r="E2" s="1">
        <v>26.0</v>
      </c>
      <c r="F2" s="1" t="s">
        <v>18</v>
      </c>
      <c r="G2" s="1" t="s">
        <v>19</v>
      </c>
      <c r="H2" s="1" t="s">
        <v>20</v>
      </c>
      <c r="I2" s="1">
        <v>66.24</v>
      </c>
      <c r="J2" s="1">
        <v>0.086</v>
      </c>
      <c r="K2" s="1">
        <v>73.93</v>
      </c>
      <c r="L2" s="1">
        <v>0.078</v>
      </c>
      <c r="M2" s="2">
        <f t="shared" ref="M2:M10" si="1">SQRT(((D2-1)*L2^2 + (E2-1)*J2^2)/(D2+E2-2))</f>
        <v>0.08209750301</v>
      </c>
      <c r="N2" s="2">
        <f t="shared" ref="N2:N10" si="2">(K2 - I2) / M2</f>
        <v>93.66910951</v>
      </c>
      <c r="O2" s="2">
        <f t="shared" ref="O2:O10" si="3">SQRT((D2+E2)/(D2*E2) + (N2^2)/(2*(D2+E2)))</f>
        <v>9.18919834</v>
      </c>
      <c r="P2" s="2">
        <f t="shared" ref="P2:P10" si="4">N2 - 1.96*O2</f>
        <v>75.65828077</v>
      </c>
      <c r="Q2" s="2">
        <f t="shared" ref="Q2:Q10" si="5">N2 + 1.96*O2</f>
        <v>111.6799383</v>
      </c>
    </row>
    <row r="3">
      <c r="A3" s="1" t="s">
        <v>21</v>
      </c>
      <c r="B3" s="1">
        <v>2025.0</v>
      </c>
      <c r="C3" s="1">
        <v>240.0</v>
      </c>
      <c r="D3" s="1">
        <v>120.0</v>
      </c>
      <c r="E3" s="1">
        <v>120.0</v>
      </c>
      <c r="F3" s="1" t="s">
        <v>18</v>
      </c>
      <c r="G3" s="1" t="s">
        <v>22</v>
      </c>
      <c r="H3" s="1" t="s">
        <v>23</v>
      </c>
      <c r="I3" s="1">
        <v>5.39</v>
      </c>
      <c r="J3" s="1">
        <v>0.75</v>
      </c>
      <c r="K3" s="1">
        <v>6.21</v>
      </c>
      <c r="L3" s="1">
        <v>0.68</v>
      </c>
      <c r="M3" s="2">
        <f t="shared" si="1"/>
        <v>0.7158561308</v>
      </c>
      <c r="N3" s="2">
        <f t="shared" si="2"/>
        <v>1.145481564</v>
      </c>
      <c r="O3" s="2">
        <f t="shared" si="3"/>
        <v>0.1392848401</v>
      </c>
      <c r="P3" s="2">
        <f t="shared" si="4"/>
        <v>0.8724832769</v>
      </c>
      <c r="Q3" s="2">
        <f t="shared" si="5"/>
        <v>1.41847985</v>
      </c>
    </row>
    <row r="4">
      <c r="A4" s="1" t="s">
        <v>24</v>
      </c>
      <c r="B4" s="1">
        <v>2025.0</v>
      </c>
      <c r="C4" s="1">
        <v>120.0</v>
      </c>
      <c r="D4" s="1">
        <v>60.0</v>
      </c>
      <c r="E4" s="1">
        <v>60.0</v>
      </c>
      <c r="F4" s="1" t="s">
        <v>18</v>
      </c>
      <c r="G4" s="1" t="s">
        <v>25</v>
      </c>
      <c r="H4" s="1" t="s">
        <v>26</v>
      </c>
      <c r="I4" s="1">
        <v>64.8</v>
      </c>
      <c r="J4" s="1">
        <v>7.9</v>
      </c>
      <c r="K4" s="1">
        <v>78.5</v>
      </c>
      <c r="L4" s="1">
        <v>7.1</v>
      </c>
      <c r="M4" s="2">
        <f t="shared" si="1"/>
        <v>7.510659092</v>
      </c>
      <c r="N4" s="2">
        <f t="shared" si="2"/>
        <v>1.82407427</v>
      </c>
      <c r="O4" s="2">
        <f t="shared" si="3"/>
        <v>0.2172483884</v>
      </c>
      <c r="P4" s="2">
        <f t="shared" si="4"/>
        <v>1.398267429</v>
      </c>
      <c r="Q4" s="2">
        <f t="shared" si="5"/>
        <v>2.249881111</v>
      </c>
    </row>
    <row r="5">
      <c r="A5" s="1" t="s">
        <v>27</v>
      </c>
      <c r="B5" s="1">
        <v>2025.0</v>
      </c>
      <c r="C5" s="1">
        <v>120.0</v>
      </c>
      <c r="D5" s="1">
        <v>60.0</v>
      </c>
      <c r="E5" s="1">
        <v>60.0</v>
      </c>
      <c r="F5" s="1" t="s">
        <v>18</v>
      </c>
      <c r="G5" s="1" t="s">
        <v>25</v>
      </c>
      <c r="H5" s="1" t="s">
        <v>28</v>
      </c>
      <c r="I5" s="1">
        <v>61.8</v>
      </c>
      <c r="J5" s="1">
        <v>9.8</v>
      </c>
      <c r="K5" s="1">
        <v>80.2</v>
      </c>
      <c r="L5" s="1">
        <v>9.3</v>
      </c>
      <c r="M5" s="2">
        <f t="shared" si="1"/>
        <v>9.553271691</v>
      </c>
      <c r="N5" s="2">
        <f t="shared" si="2"/>
        <v>1.926041737</v>
      </c>
      <c r="O5" s="2">
        <f t="shared" si="3"/>
        <v>0.2208849321</v>
      </c>
      <c r="P5" s="2">
        <f t="shared" si="4"/>
        <v>1.49310727</v>
      </c>
      <c r="Q5" s="2">
        <f t="shared" si="5"/>
        <v>2.358976204</v>
      </c>
    </row>
    <row r="6">
      <c r="A6" s="1" t="s">
        <v>29</v>
      </c>
      <c r="B6" s="1">
        <v>2025.0</v>
      </c>
      <c r="C6" s="1">
        <v>120.0</v>
      </c>
      <c r="D6" s="1">
        <v>60.0</v>
      </c>
      <c r="E6" s="1">
        <v>60.0</v>
      </c>
      <c r="F6" s="1" t="s">
        <v>18</v>
      </c>
      <c r="G6" s="1" t="s">
        <v>25</v>
      </c>
      <c r="H6" s="1" t="s">
        <v>20</v>
      </c>
      <c r="I6" s="1">
        <v>57.9</v>
      </c>
      <c r="J6" s="1">
        <v>8.7</v>
      </c>
      <c r="K6" s="1">
        <v>75.4</v>
      </c>
      <c r="L6" s="1">
        <v>8.6</v>
      </c>
      <c r="M6" s="2">
        <f t="shared" si="1"/>
        <v>8.650144507</v>
      </c>
      <c r="N6" s="2">
        <f t="shared" si="2"/>
        <v>2.023087589</v>
      </c>
      <c r="O6" s="2">
        <f t="shared" si="3"/>
        <v>0.2244705195</v>
      </c>
      <c r="P6" s="2">
        <f t="shared" si="4"/>
        <v>1.583125371</v>
      </c>
      <c r="Q6" s="2">
        <f t="shared" si="5"/>
        <v>2.463049808</v>
      </c>
    </row>
    <row r="7">
      <c r="A7" s="1" t="s">
        <v>30</v>
      </c>
      <c r="B7" s="1">
        <v>2024.0</v>
      </c>
      <c r="C7" s="1">
        <v>100.0</v>
      </c>
      <c r="D7" s="1">
        <v>50.0</v>
      </c>
      <c r="E7" s="1">
        <v>50.0</v>
      </c>
      <c r="F7" s="1" t="s">
        <v>18</v>
      </c>
      <c r="G7" s="3" t="s">
        <v>31</v>
      </c>
      <c r="H7" s="1" t="s">
        <v>32</v>
      </c>
      <c r="I7" s="1">
        <v>78.0</v>
      </c>
      <c r="J7" s="1">
        <v>7.0</v>
      </c>
      <c r="K7" s="1">
        <v>85.0</v>
      </c>
      <c r="L7" s="1">
        <v>5.0</v>
      </c>
      <c r="M7" s="2">
        <f t="shared" si="1"/>
        <v>6.08276253</v>
      </c>
      <c r="N7" s="2">
        <f t="shared" si="2"/>
        <v>1.150792911</v>
      </c>
      <c r="O7" s="2">
        <f t="shared" si="3"/>
        <v>0.2159204058</v>
      </c>
      <c r="P7" s="2">
        <f t="shared" si="4"/>
        <v>0.7275889159</v>
      </c>
      <c r="Q7" s="2">
        <f t="shared" si="5"/>
        <v>1.573996906</v>
      </c>
    </row>
    <row r="8">
      <c r="A8" s="1" t="s">
        <v>33</v>
      </c>
      <c r="B8" s="1">
        <v>2023.0</v>
      </c>
      <c r="C8" s="1">
        <v>64.0</v>
      </c>
      <c r="D8" s="1">
        <v>32.0</v>
      </c>
      <c r="E8" s="1">
        <v>32.0</v>
      </c>
      <c r="F8" s="1" t="s">
        <v>18</v>
      </c>
      <c r="G8" s="1" t="s">
        <v>34</v>
      </c>
      <c r="H8" s="1" t="s">
        <v>26</v>
      </c>
      <c r="I8" s="1">
        <v>15.97</v>
      </c>
      <c r="J8" s="1">
        <v>3.06</v>
      </c>
      <c r="K8" s="1">
        <v>29.13</v>
      </c>
      <c r="L8" s="1">
        <v>4.0</v>
      </c>
      <c r="M8" s="2">
        <f t="shared" si="1"/>
        <v>3.561151499</v>
      </c>
      <c r="N8" s="2">
        <f t="shared" si="2"/>
        <v>3.695433908</v>
      </c>
      <c r="O8" s="2">
        <f t="shared" si="3"/>
        <v>0.4113262825</v>
      </c>
      <c r="P8" s="2">
        <f t="shared" si="4"/>
        <v>2.889234394</v>
      </c>
      <c r="Q8" s="2">
        <f t="shared" si="5"/>
        <v>4.501633421</v>
      </c>
    </row>
    <row r="9">
      <c r="A9" s="1" t="s">
        <v>35</v>
      </c>
      <c r="B9" s="1">
        <v>2023.0</v>
      </c>
      <c r="C9" s="1">
        <v>40.0</v>
      </c>
      <c r="D9" s="1">
        <v>20.0</v>
      </c>
      <c r="E9" s="1">
        <v>20.0</v>
      </c>
      <c r="F9" s="1" t="s">
        <v>36</v>
      </c>
      <c r="G9" s="1" t="s">
        <v>37</v>
      </c>
      <c r="H9" s="1" t="s">
        <v>20</v>
      </c>
      <c r="I9" s="1">
        <v>4.66</v>
      </c>
      <c r="J9" s="1">
        <v>2.45</v>
      </c>
      <c r="K9" s="1">
        <v>3.78</v>
      </c>
      <c r="L9" s="1">
        <v>2.25</v>
      </c>
      <c r="M9" s="2">
        <f t="shared" si="1"/>
        <v>2.352126697</v>
      </c>
      <c r="N9" s="2">
        <f t="shared" si="2"/>
        <v>-0.3741295063</v>
      </c>
      <c r="O9" s="2">
        <f t="shared" si="3"/>
        <v>0.3189822269</v>
      </c>
      <c r="P9" s="2">
        <f t="shared" si="4"/>
        <v>-0.9993346711</v>
      </c>
      <c r="Q9" s="2">
        <f t="shared" si="5"/>
        <v>0.2510756585</v>
      </c>
    </row>
    <row r="10">
      <c r="A10" s="1" t="s">
        <v>38</v>
      </c>
      <c r="B10" s="1">
        <v>2024.0</v>
      </c>
      <c r="C10" s="1">
        <v>47.0</v>
      </c>
      <c r="D10" s="1">
        <v>20.0</v>
      </c>
      <c r="E10" s="1">
        <v>27.0</v>
      </c>
      <c r="F10" s="1" t="s">
        <v>18</v>
      </c>
      <c r="G10" s="1" t="s">
        <v>39</v>
      </c>
      <c r="H10" s="1" t="s">
        <v>20</v>
      </c>
      <c r="I10" s="1">
        <v>80.41</v>
      </c>
      <c r="J10" s="1">
        <v>16.56</v>
      </c>
      <c r="K10" s="1">
        <v>90.95</v>
      </c>
      <c r="L10" s="1">
        <v>11.49</v>
      </c>
      <c r="M10" s="2">
        <f t="shared" si="1"/>
        <v>14.63515972</v>
      </c>
      <c r="N10" s="2">
        <f t="shared" si="2"/>
        <v>0.7201834625</v>
      </c>
      <c r="O10" s="2">
        <f t="shared" si="3"/>
        <v>0.3042281077</v>
      </c>
      <c r="P10" s="2">
        <f t="shared" si="4"/>
        <v>0.1238963714</v>
      </c>
      <c r="Q10" s="2">
        <f t="shared" si="5"/>
        <v>1.316470554</v>
      </c>
    </row>
  </sheetData>
  <drawing r:id="rId1"/>
</worksheet>
</file>